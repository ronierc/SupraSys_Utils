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4.xml" ContentType="application/vnd.ms-excel.person+xml"/>
  <Override PartName="/xl/persons/person17.xml" ContentType="application/vnd.ms-excel.person+xml"/>
  <Override PartName="/xl/persons/person12.xml" ContentType="application/vnd.ms-excel.person+xml"/>
  <Override PartName="/xl/persons/person20.xml" ContentType="application/vnd.ms-excel.person+xml"/>
  <Override PartName="/xl/persons/person24.xml" ContentType="application/vnd.ms-excel.person+xml"/>
  <Override PartName="/xl/persons/person27.xml" ContentType="application/vnd.ms-excel.person+xml"/>
  <Override PartName="/xl/persons/person33.xml" ContentType="application/vnd.ms-excel.person+xml"/>
  <Override PartName="/xl/persons/person41.xml" ContentType="application/vnd.ms-excel.person+xml"/>
  <Override PartName="/xl/persons/person46.xml" ContentType="application/vnd.ms-excel.person+xml"/>
  <Override PartName="/xl/persons/person6.xml" ContentType="application/vnd.ms-excel.person+xml"/>
  <Override PartName="/xl/persons/person1.xml" ContentType="application/vnd.ms-excel.person+xml"/>
  <Override PartName="/xl/persons/person9.xml" ContentType="application/vnd.ms-excel.person+xml"/>
  <Override PartName="/xl/persons/person14.xml" ContentType="application/vnd.ms-excel.person+xml"/>
  <Override PartName="/xl/persons/person18.xml" ContentType="application/vnd.ms-excel.person+xml"/>
  <Override PartName="/xl/persons/person22.xml" ContentType="application/vnd.ms-excel.person+xml"/>
  <Override PartName="/xl/persons/person30.xml" ContentType="application/vnd.ms-excel.person+xml"/>
  <Override PartName="/xl/persons/person35.xml" ContentType="application/vnd.ms-excel.person+xml"/>
  <Override PartName="/xl/persons/person43.xml" ContentType="application/vnd.ms-excel.person+xml"/>
  <Override PartName="/xl/persons/person38.xml" ContentType="application/vnd.ms-excel.person+xml"/>
  <Override PartName="/xl/persons/person28.xml" ContentType="application/vnd.ms-excel.person+xml"/>
  <Override PartName="/xl/persons/person23.xml" ContentType="application/vnd.ms-excel.person+xml"/>
  <Override PartName="/xl/persons/person15.xml" ContentType="application/vnd.ms-excel.person+xml"/>
  <Override PartName="/xl/persons/person10.xml" ContentType="application/vnd.ms-excel.person+xml"/>
  <Override PartName="/xl/persons/person7.xml" ContentType="application/vnd.ms-excel.person+xml"/>
  <Override PartName="/xl/persons/person2.xml" ContentType="application/vnd.ms-excel.person+xml"/>
  <Override PartName="/xl/persons/person34.xml" ContentType="application/vnd.ms-excel.person+xml"/>
  <Override PartName="/xl/persons/person42.xml" ContentType="application/vnd.ms-excel.person+xml"/>
  <Override PartName="/xl/persons/person.xml" ContentType="application/vnd.ms-excel.person+xml"/>
  <Override PartName="/xl/persons/person31.xml" ContentType="application/vnd.ms-excel.person+xml"/>
  <Override PartName="/xl/persons/person25.xml" ContentType="application/vnd.ms-excel.person+xml"/>
  <Override PartName="/xl/persons/person3.xml" ContentType="application/vnd.ms-excel.person+xml"/>
  <Override PartName="/xl/persons/person11.xml" ContentType="application/vnd.ms-excel.person+xml"/>
  <Override PartName="/xl/persons/person16.xml" ContentType="application/vnd.ms-excel.person+xml"/>
  <Override PartName="/xl/persons/person37.xml" ContentType="application/vnd.ms-excel.person+xml"/>
  <Override PartName="/xl/persons/person45.xml" ContentType="application/vnd.ms-excel.person+xml"/>
  <Override PartName="/xl/persons/person19.xml" ContentType="application/vnd.ms-excel.person+xml"/>
  <Override PartName="/xl/persons/person32.xml" ContentType="application/vnd.ms-excel.person+xml"/>
  <Override PartName="/xl/persons/person40.xml" ContentType="application/vnd.ms-excel.person+xml"/>
  <Override PartName="/xl/persons/person36.xml" ContentType="application/vnd.ms-excel.person+xml"/>
  <Override PartName="/xl/persons/person0.xml" ContentType="application/vnd.ms-excel.person+xml"/>
  <Override PartName="/xl/persons/person5.xml" ContentType="application/vnd.ms-excel.person+xml"/>
  <Override PartName="/xl/persons/person13.xml" ContentType="application/vnd.ms-excel.person+xml"/>
  <Override PartName="/xl/persons/person26.xml" ContentType="application/vnd.ms-excel.person+xml"/>
  <Override PartName="/xl/persons/person44.xml" ContentType="application/vnd.ms-excel.person+xml"/>
  <Override PartName="/xl/persons/person39.xml" ContentType="application/vnd.ms-excel.person+xml"/>
  <Override PartName="/xl/persons/person8.xml" ContentType="application/vnd.ms-excel.person+xml"/>
  <Override PartName="/xl/persons/person21.xml" ContentType="application/vnd.ms-excel.person+xml"/>
  <Override PartName="/xl/persons/person29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R:\Meu Drive\SupraSys\Planilhas\"/>
    </mc:Choice>
  </mc:AlternateContent>
  <xr:revisionPtr revIDLastSave="0" documentId="13_ncr:1_{CD70F6C7-BDD1-42E4-994E-407D7DA0ADBB}" xr6:coauthVersionLast="47" xr6:coauthVersionMax="47" xr10:uidLastSave="{00000000-0000-0000-0000-000000000000}"/>
  <bookViews>
    <workbookView xWindow="-120" yWindow="-120" windowWidth="20730" windowHeight="11160" tabRatio="869" xr2:uid="{00000000-000D-0000-FFFF-FFFF00000000}"/>
  </bookViews>
  <sheets>
    <sheet name="Consulta_Chamados" sheetId="77" r:id="rId1"/>
    <sheet name="Consulta_Solicitações(NãoPront)" sheetId="79" r:id="rId2"/>
  </sheets>
  <definedNames>
    <definedName name="DadosExternos_1" localSheetId="0" hidden="1">Consulta_Chamados!$C$6:$K$11</definedName>
    <definedName name="DadosExternos_1" localSheetId="1" hidden="1">'Consulta_Solicitações(NãoPront)'!$B$6:$M$7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77" l="1"/>
  <c r="B8" i="77"/>
  <c r="B11" i="77"/>
  <c r="B9" i="77"/>
  <c r="B7" i="77"/>
  <c r="G2" i="79"/>
  <c r="G3" i="79"/>
  <c r="G4" i="79"/>
  <c r="G1" i="79"/>
  <c r="A4" i="79"/>
  <c r="A3" i="79"/>
  <c r="A1" i="79"/>
  <c r="A2" i="79"/>
  <c r="A5" i="79" l="1"/>
  <c r="A5" i="77"/>
  <c r="A4" i="77"/>
  <c r="A3" i="77"/>
  <c r="A2" i="77"/>
  <c r="A1" i="77"/>
  <c r="F1" i="77" l="1"/>
  <c r="F2" i="7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266C47F-F499-4E83-8881-1348E322E5BE}" name="Consulta_Chamados" type="1" refreshedVersion="8" background="1" refreshOnLoad="1" saveData="1">
    <dbPr connection="DSN=HelpDeskOnline;" command="SELECT u.name AS ANALISTA, UPPER(e.name) AS EMPRESA, DATE_FORMAT(c.dt, '%d/%m/%Y') AS DATA,_x000d__x000a_    CASE c.status_x000d__x000a__x0009__x0009_WHEN '0' THEN '1-NOVO'_x000d__x000a__x0009_    WHEN '1' THEN '2-AGUAR. RESP.'_x000d__x000a__x0009_    WHEN '6' THEN '3-ANALISE'_x000d__x000a__x0009_    WHEN '2' THEN '4-RESPONDIDO'_x000d__x000a__x0009_    WHEN '4' THEN '5-FINALIZADO'_x000d__x000a__x0009_    WHEN '3' THEN '6-RESOLVIDO'_x000d__x000a__x0009_    WHEN '5' THEN CONCAT('7-SOL. ', c.custom1)_x000d__x000a_    END AS 'STATUS', _x000d__x000a_    UPPER(c.subject) AS ASSUNTO, REPLACE(REPLACE(REPLACE(REPLACE(REPLACE(REPLACE(REPLACE(REPLACE(REPLACE(REPLACE(REPLACE(REPLACE(REPLACE(LOWER(c.message),'&lt;br /&gt;' ,''),'&amp;lt;' ,''),'p&amp;gt;',''),'&amp;amp;',''),'nbsp;',''),'br /&amp;gt;',''),'picture&amp;quot;',''),'img class=&amp;quot;',''),'img alt=&amp;quot;',''), 'src=&amp;quot;../attachments/anexo','&lt;img'), '&amp;quot; /&amp;gt;','&gt;'),'/' ,' '),'&amp;quot;','') AS MENSAGEM,_x000d__x000a_    CAST(UPPER(c.requester_name) AS CHAR) AS SOLICITANTE,_x000d__x000a_    c.dta_resolvido,_x000d__x000a_CONCAT (c.id,' _ ',c.trackid) AS TICKET_x000d__x000a_FROM hesk_tickets c_x000d__x000a_INNER JOIN hesk_users e ON e.id = c.usersend_x000d__x000a_LEFT JOIN hesk_users u ON c.owner = u.id_x000d__x000a_WHERE e.name LIKE ?_x000d__x000a_AND c.subject LIKE ?_x000d__x000a_AND c.message LIKE ?_x000d__x000a_AND c.dt BETWEEN ? AND ?_x000d__x000a_ORDER BY STATUS"/>
    <parameters count="5">
      <parameter name="Parâmetro1" parameterType="cell" refreshOnChange="1" cell="Consulta_Chamados!$A$1"/>
      <parameter name="Parâmetro2" parameterType="cell" refreshOnChange="1" cell="Consulta_Chamados!$A$2"/>
      <parameter name="Parâmetro3" parameterType="cell" refreshOnChange="1" cell="Consulta_Chamados!$A$3"/>
      <parameter name="Parâmetro4" parameterType="cell" refreshOnChange="1" cell="Consulta_Chamados!$A$4"/>
      <parameter name="Parâmetro5" parameterType="cell" refreshOnChange="1" cell="Consulta_Chamados!$A$5"/>
    </parameters>
  </connection>
  <connection id="2" xr16:uid="{BC54278F-2D29-4DD4-B9F8-ED45251B495B}" name="Consulta_Solicitacoes1" type="1" refreshedVersion="8" background="1" saveData="1">
    <dbPr connection="DSN=HPDESK;UID=HPDESK;DBQ=HPDESK;DBA=W;APA=T;EXC=F;FEN=T;QTO=T;FRC=10;FDL=10;LOB=T;RST=T;BTD=F;BNF=F;BAM=IfAllSuccessful;NUM=NLS;DPM=F;MTS=T;MDI=F;CSR=F;FWC=F;FBS=64000;TLO=O;MLD=0;ODA=F;STE=F;TSZ=8192;AST=FLOAT;LPS=8192;" command="SELECT _x000d__x000a_S.SEQ_SOLICITACAO AS SL , _x000d__x000a_s.DATA,_x000d__x000a_sp.nome_suporte,_x000d__x000a_CASE S.STATUS _x000d__x000a_         WHEN 1 THEN '4-ANALISE'_x000d__x000a_         WHEN 2 THEN 'ATUALIZADA'_x000d__x000a_         WHEN 3 THEN '6-TESTADA'_x000d__x000a_         WHEN 4 THEN '1-EM DESENVOL'_x000d__x000a_         WHEN 5 THEN '2-FIN. DESENVOL'_x000d__x000a_         WHEN 0 THEN '3-PENDENTE'_x000d__x000a_         WHEN 9 THEN '7-CANCaELADA'_x000d__x000a_         WHEN 8 THEN '8-EXCLUIDA'_x000d__x000a_         WHEN 10 THEN '5-APROVADA'_x000d__x000a_END AS STATUS_SOLIC,_x000d__x000a_CASE S.TP_SOLICITACAO_x000d__x000a_  WHEN 0 THEN 'IMPLEMENTACAO'_x000d__x000a_  WHEN 1 THEN 'CORRECAO'_x000d__x000a_  WHEN 2 THEN 'ANALISE' END AS TP_SOLIC,I.DESC_SISTEMA AS SISTEMA ,_x000d__x000a_ST.DESC_VERSAO AS VERSAO,_x000d__x000a_e.nome_fantasia,_x000d__x000a_ms.MDSIST_DESCRICAO,_x000d__x000a_aps.APSIST_DESCRICAO,_x000d__x000a_S.DESC_SOLICITACAO,_x000d__x000a_CONCAT(CONCAT(s.IDTICKET,' _ '),s.CODTICKET) AS TICKET_x000d__x000a_FROM SOLICITACAO S _x000d__x000a_INNER JOIN EMPRESA E ON S.COD_EMPRESA = E.COD_EMPRESA AND e.nome_fantasia LIKE ?_x000d__x000a_INNER JOIN SISTEMA I ON S.COD_SISTEMA = I.COD_SISTEMA AND i.DESC_SISTEMA LIKE ?_x000d__x000a_INNER JOIN SUPORTE sp ON s.COD_SUPORTE = sp.COD_SUPORTE AND sp.nome_suporte LIKE ?_x000d__x000a_INNER JOIN SISTEMA_VERSAO ST ON ST.SEQ_VERSAO = S.SEQ_VERSAO_FINALIZADO AND ST.DESC_VERSAO LIKE ?_x000d__x000a_INNER JOIN MODULO_SISTEMA ms ON S.IDMODULOSISTEMA = ms.IDMODULOSISTEMA AND ms.MDSIST_DESCRICAO LIKE ?_x000d__x000a_INNER JOIN APLICACAO_SISTEMA aps ON s.IDAPLICACAOSISTEMA = aps.IDAPLICACAOSISTEMA AND aps.APSIST_DESCRICAO LIKE ?_x000d__x000a_WHERE S.DESC_SOLICITACAO LIKE ?"/>
    <parameters count="7">
      <parameter name="Parâmetro1" parameterType="cell" refreshOnChange="1" cell="'Consulta_Solicitações(NãoPront)'!$A$1"/>
      <parameter name="Parâmetro2" parameterType="cell" refreshOnChange="1" cell="'Consulta_Solicitações(NãoPront)'!$G$1"/>
      <parameter name="Parâmetro3" parameterType="cell" refreshOnChange="1" cell="'Consulta_Solicitações(NãoPront)'!$A$2"/>
      <parameter name="Parâmetro4" parameterType="cell" refreshOnChange="1" cell="'Consulta_Solicitações(NãoPront)'!$G$2"/>
      <parameter name="Parâmetro5" parameterType="cell" refreshOnChange="1" cell="'Consulta_Solicitações(NãoPront)'!$G$3"/>
      <parameter name="Parâmetro6" parameterType="cell" refreshOnChange="1" cell="'Consulta_Solicitações(NãoPront)'!$G$4"/>
      <parameter name="Parâmetro7" parameterType="cell" refreshOnChange="1" cell="'Consulta_Solicitações(NãoPront)'!$C$4"/>
    </parameters>
  </connection>
</connections>
</file>

<file path=xl/sharedStrings.xml><?xml version="1.0" encoding="utf-8"?>
<sst xmlns="http://schemas.openxmlformats.org/spreadsheetml/2006/main" count="91" uniqueCount="76">
  <si>
    <t>STATUS</t>
  </si>
  <si>
    <t>CH</t>
  </si>
  <si>
    <t>DATA</t>
  </si>
  <si>
    <t>ANALISTA</t>
  </si>
  <si>
    <t>dta_resolvido</t>
  </si>
  <si>
    <t>ASSUNTO</t>
  </si>
  <si>
    <t>6-RESOLVIDO</t>
  </si>
  <si>
    <t>EMPRESA</t>
  </si>
  <si>
    <t>MENSAGEM</t>
  </si>
  <si>
    <t>Data Início:</t>
  </si>
  <si>
    <t>Data Fim:</t>
  </si>
  <si>
    <t>Mensagem:</t>
  </si>
  <si>
    <t>Nome:</t>
  </si>
  <si>
    <t>SOLICITANTE</t>
  </si>
  <si>
    <t>%</t>
  </si>
  <si>
    <t>Quantidade:</t>
  </si>
  <si>
    <t>Média:</t>
  </si>
  <si>
    <t>TICKET</t>
  </si>
  <si>
    <t>Assunto:</t>
  </si>
  <si>
    <t>SL</t>
  </si>
  <si>
    <t>TP_SOLIC</t>
  </si>
  <si>
    <t>SISTEMA</t>
  </si>
  <si>
    <t>VERSAO</t>
  </si>
  <si>
    <t>MDSIST_DESCRICAO</t>
  </si>
  <si>
    <t>APSIST_DESCRICAO</t>
  </si>
  <si>
    <t>DESC_SOLICITACAO</t>
  </si>
  <si>
    <t>Empresa:</t>
  </si>
  <si>
    <t>Versão</t>
  </si>
  <si>
    <t>Sistema</t>
  </si>
  <si>
    <t>Modelo</t>
  </si>
  <si>
    <t>Aplicação</t>
  </si>
  <si>
    <t>Suporte:</t>
  </si>
  <si>
    <t>Data:</t>
  </si>
  <si>
    <t>Tipo:</t>
  </si>
  <si>
    <t>Descrição:</t>
  </si>
  <si>
    <t>NOME_SUPORTE</t>
  </si>
  <si>
    <t>STATUS_SOLIC</t>
  </si>
  <si>
    <t>NOME_FANTASIA</t>
  </si>
  <si>
    <t>Drafer</t>
  </si>
  <si>
    <t>Compra</t>
  </si>
  <si>
    <t>SupraSys</t>
  </si>
  <si>
    <t>SUPRASYS</t>
  </si>
  <si>
    <t>Geovanne Oliveira</t>
  </si>
  <si>
    <t>GEOVANNE</t>
  </si>
  <si>
    <t>Larissa Soratto</t>
  </si>
  <si>
    <t>Laerte Fernandes</t>
  </si>
  <si>
    <t>LAERTE</t>
  </si>
  <si>
    <t>31/12/2024</t>
  </si>
  <si>
    <t>28/02/2024</t>
  </si>
  <si>
    <t>DATA ÚLTIMA COMPRA</t>
  </si>
  <si>
    <t xml:space="preserve">quando a data da última compra for núll ou a padrão do firebird  &lt;img_65df3aea93bbc.png&gt; enviar como null para a data ficar em vermelho  &lt;img_65df3b172976a.png&gt; </t>
  </si>
  <si>
    <t>149683 _ 7E1-B8N-6DAA</t>
  </si>
  <si>
    <t>18/03/2024</t>
  </si>
  <si>
    <t>7-SOL. 30664</t>
  </si>
  <si>
    <t>IMPLEMENTAR COLUNA DE SALDO RESTANTE NO PED. COMPRA</t>
  </si>
  <si>
    <t xml:space="preserve">span style=font-size:16px&amp;gt;implementar uma nova coluna de saldo restante do pedido de compra ao abrir a linha do pedido. span&amp;gt;  span style=font-size:16px&amp;gt; &lt;img_65f8488fda8db.png&gt; span&amp;gt; span style=font-size:16px&amp;gt; &lt;img_65f8489682c52.png style=height:560px; width:1200px&gt; span&amp;gt;  </t>
  </si>
  <si>
    <t>MATHEUS PIRES</t>
  </si>
  <si>
    <t>150505 _ XPG-WB1-7Q26</t>
  </si>
  <si>
    <t>Julio Polizelli</t>
  </si>
  <si>
    <t>30/04/2024</t>
  </si>
  <si>
    <t>7-SOL. 30854</t>
  </si>
  <si>
    <t>ERRO NÚMERO PEDIDO DE COMPRA</t>
  </si>
  <si>
    <t xml:space="preserve"> &lt;img_6630e1ce65b62.png&gt; </t>
  </si>
  <si>
    <t>152207 _ 848-WPB-2ETS</t>
  </si>
  <si>
    <t>24/05/2024</t>
  </si>
  <si>
    <t>7-SOL. 30968</t>
  </si>
  <si>
    <t>NF DE COMPRA - COPIA DA SL CRÍTICA 30965</t>
  </si>
  <si>
    <t xml:space="preserve">chamado com finalidade apenas de ser a cópia da solicitação crítica.solicitação crítica desenvolvida na versão s125-a essa sl é apenas para sincronizar o que foi feito na s125-a, na versão s126 que está em abertobom dia, não estamos conseguindo dar entrada nas nfs, esta dando erro. img src=https:  suporte.suprasys.com.br intranet attachments anexo_66507bd866c86.png&gt;  o cogido 4810 sempre foi ultilizado para dar entrada nas nfs, porem hoje ele esta aparecendo em roxo (como se a tributação do produto não estivesse cadastrada) e aparece esse erro acima img src=https:  suporte.suprasys.com.br intranet attachments anexo_66507c48c48ae.png&gt;  img src=https:  suporte.suprasys.com.br intranet attachments anexo_6650811e01697.png&gt; </t>
  </si>
  <si>
    <t>153206 _ B4X-2YH-7ZG6</t>
  </si>
  <si>
    <t>01/06/2024</t>
  </si>
  <si>
    <t>7-SOL. 30998</t>
  </si>
  <si>
    <t>INCLUSÃO DE COLUNA PEDIDO DE COMPRA</t>
  </si>
  <si>
    <t xml:space="preserve">para que serve a opção ponto de pedido ?  &lt;img_665b125ab0c48.png&gt; na aplicação cadastro   produtos   produto criar coluna pedido de compra (trazer qtd de compra igual existe na consulta especial de produtos.  &lt;img_665b1239c2669.png&gt;  exemplo da conslta especial de produto  &lt;img_665b12beb7cbb.png&gt;  motivo: não ter a necessidade de impressão de relatorio e fazer consulta e tela de varios produtos. </t>
  </si>
  <si>
    <t>PAVESI</t>
  </si>
  <si>
    <t>153435 _ DHL-N2U-UZRT</t>
  </si>
  <si>
    <t>01/01/2024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</si>
</sst>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6">
    <xf numFmtId="0" fontId="0" fillId="0" borderId="0" xfId="0"/>
    <xf numFmtId="0" fontId="0" fillId="2" borderId="0" xfId="0" applyFill="1"/>
    <xf numFmtId="0" fontId="0" fillId="3" borderId="0" xfId="0" applyFill="1"/>
    <xf numFmtId="49" fontId="0" fillId="3" borderId="0" xfId="0" applyNumberFormat="1" applyFill="1"/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14" fontId="0" fillId="2" borderId="0" xfId="0" applyNumberFormat="1" applyFill="1"/>
    <xf numFmtId="0" fontId="0" fillId="4" borderId="0" xfId="0" applyFill="1" applyAlignment="1">
      <alignment horizontal="left"/>
    </xf>
    <xf numFmtId="2" fontId="0" fillId="4" borderId="0" xfId="0" applyNumberFormat="1" applyFill="1" applyAlignment="1">
      <alignment horizontal="left"/>
    </xf>
    <xf numFmtId="0" fontId="2" fillId="2" borderId="0" xfId="0" applyFont="1" applyFill="1"/>
    <xf numFmtId="14" fontId="0" fillId="0" borderId="0" xfId="0" applyNumberFormat="1"/>
    <xf numFmtId="0" fontId="1" fillId="0" borderId="0" xfId="1" applyFill="1"/>
    <xf numFmtId="22" fontId="0" fillId="0" borderId="0" xfId="0" applyNumberFormat="1"/>
    <xf numFmtId="0" fontId="3" fillId="2" borderId="0" xfId="0" applyFont="1" applyFill="1"/>
    <xf numFmtId="0" fontId="0" fillId="4" borderId="0" xfId="0" applyFill="1" applyAlignment="1">
      <alignment horizontal="right" shrinkToFit="1"/>
    </xf>
    <xf numFmtId="0" fontId="3" fillId="2" borderId="0" xfId="0" applyFont="1" applyFill="1" applyAlignment="1">
      <alignment vertical="center"/>
    </xf>
    <xf numFmtId="0" fontId="0" fillId="4" borderId="0" xfId="0" applyFill="1" applyAlignment="1">
      <alignment horizontal="right" vertical="center" shrinkToFit="1"/>
    </xf>
    <xf numFmtId="0" fontId="0" fillId="3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0" fillId="4" borderId="0" xfId="0" applyFill="1" applyAlignment="1">
      <alignment horizontal="right" vertical="center"/>
    </xf>
    <xf numFmtId="49" fontId="0" fillId="3" borderId="0" xfId="0" applyNumberFormat="1" applyFill="1" applyAlignment="1">
      <alignment vertical="center"/>
    </xf>
    <xf numFmtId="14" fontId="0" fillId="4" borderId="0" xfId="0" applyNumberFormat="1" applyFill="1" applyAlignment="1">
      <alignment horizontal="right" vertical="center"/>
    </xf>
    <xf numFmtId="14" fontId="0" fillId="2" borderId="0" xfId="0" applyNumberFormat="1" applyFill="1" applyAlignment="1">
      <alignment vertical="center"/>
    </xf>
    <xf numFmtId="0" fontId="0" fillId="0" borderId="0" xfId="0" applyAlignment="1">
      <alignment vertical="center"/>
    </xf>
    <xf numFmtId="22" fontId="0" fillId="0" borderId="0" xfId="0" applyNumberFormat="1" applyAlignment="1">
      <alignment vertical="center"/>
    </xf>
    <xf numFmtId="14" fontId="0" fillId="3" borderId="0" xfId="0" applyNumberFormat="1" applyFill="1" applyAlignment="1">
      <alignment vertical="center"/>
    </xf>
  </cellXfs>
  <cellStyles count="2">
    <cellStyle name="Hiperlink" xfId="1" builtinId="8"/>
    <cellStyle name="Normal" xfId="0" builtinId="0"/>
  </cellStyles>
  <dxfs count="20">
    <dxf>
      <numFmt numFmtId="27" formatCode="dd/mm/yyyy\ hh:mm"/>
    </dxf>
    <dxf>
      <numFmt numFmtId="27" formatCode="dd/mm/yyyy\ hh:mm"/>
    </dxf>
    <dxf>
      <numFmt numFmtId="19" formatCode="dd/mm/yyyy"/>
    </dxf>
    <dxf>
      <fill>
        <patternFill patternType="none">
          <fgColor indexed="64"/>
          <bgColor indexed="65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27" formatCode="dd/mm/yyyy\ hh:mm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vertical="center" textRotation="0" wrapText="0" indent="0" justifyLastLine="0" readingOrder="0"/>
    </dxf>
    <dxf>
      <fill>
        <patternFill patternType="none">
          <fgColor indexed="64"/>
          <bgColor auto="1"/>
        </patternFill>
      </fill>
      <alignment vertical="center" textRotation="0" wrapText="0" indent="0" justifyLastLine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FB494F"/>
      <color rgb="FF344890"/>
      <color rgb="FF0000FF"/>
      <color rgb="FF800080"/>
      <color rgb="FF66CCFF"/>
      <color rgb="FF0066FF"/>
      <color rgb="FF990099"/>
      <color rgb="FFCC3399"/>
      <color rgb="FF660066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17/10/relationships/person" Target="persons/person4.xml"/><Relationship Id="rId39" Type="http://schemas.microsoft.com/office/2017/10/relationships/person" Target="persons/person17.xml"/><Relationship Id="rId34" Type="http://schemas.microsoft.com/office/2017/10/relationships/person" Target="persons/person12.xml"/><Relationship Id="rId42" Type="http://schemas.microsoft.com/office/2017/10/relationships/person" Target="persons/person20.xml"/><Relationship Id="rId47" Type="http://schemas.microsoft.com/office/2017/10/relationships/person" Target="persons/person24.xml"/><Relationship Id="rId50" Type="http://schemas.microsoft.com/office/2017/10/relationships/person" Target="persons/person27.xml"/><Relationship Id="rId55" Type="http://schemas.microsoft.com/office/2017/10/relationships/person" Target="persons/person33.xml"/><Relationship Id="rId63" Type="http://schemas.microsoft.com/office/2017/10/relationships/person" Target="persons/person41.xml"/><Relationship Id="rId68" Type="http://schemas.microsoft.com/office/2017/10/relationships/person" Target="persons/person46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29" Type="http://schemas.microsoft.com/office/2017/10/relationships/person" Target="persons/person6.xml"/><Relationship Id="rId11" Type="http://schemas.openxmlformats.org/officeDocument/2006/relationships/customXml" Target="../customXml/item4.xml"/><Relationship Id="rId24" Type="http://schemas.microsoft.com/office/2017/10/relationships/person" Target="persons/person1.xml"/><Relationship Id="rId32" Type="http://schemas.microsoft.com/office/2017/10/relationships/person" Target="persons/person9.xml"/><Relationship Id="rId37" Type="http://schemas.microsoft.com/office/2017/10/relationships/person" Target="persons/person14.xml"/><Relationship Id="rId40" Type="http://schemas.microsoft.com/office/2017/10/relationships/person" Target="persons/person18.xml"/><Relationship Id="rId45" Type="http://schemas.microsoft.com/office/2017/10/relationships/person" Target="persons/person22.xml"/><Relationship Id="rId53" Type="http://schemas.microsoft.com/office/2017/10/relationships/person" Target="persons/person30.xml"/><Relationship Id="rId58" Type="http://schemas.microsoft.com/office/2017/10/relationships/person" Target="persons/person35.xml"/><Relationship Id="rId66" Type="http://schemas.microsoft.com/office/2017/10/relationships/person" Target="persons/person43.xml"/><Relationship Id="rId5" Type="http://schemas.openxmlformats.org/officeDocument/2006/relationships/styles" Target="styles.xml"/><Relationship Id="rId61" Type="http://schemas.microsoft.com/office/2017/10/relationships/person" Target="persons/person38.xml"/><Relationship Id="rId4" Type="http://schemas.openxmlformats.org/officeDocument/2006/relationships/connections" Target="connections.xml"/><Relationship Id="rId9" Type="http://schemas.openxmlformats.org/officeDocument/2006/relationships/customXml" Target="../customXml/item2.xml"/><Relationship Id="rId48" Type="http://schemas.microsoft.com/office/2017/10/relationships/person" Target="persons/person28.xml"/><Relationship Id="rId43" Type="http://schemas.microsoft.com/office/2017/10/relationships/person" Target="persons/person23.xml"/><Relationship Id="rId35" Type="http://schemas.microsoft.com/office/2017/10/relationships/person" Target="persons/person15.xml"/><Relationship Id="rId30" Type="http://schemas.microsoft.com/office/2017/10/relationships/person" Target="persons/person10.xml"/><Relationship Id="rId27" Type="http://schemas.microsoft.com/office/2017/10/relationships/person" Target="persons/person7.xml"/><Relationship Id="rId22" Type="http://schemas.microsoft.com/office/2017/10/relationships/person" Target="persons/person2.xml"/><Relationship Id="rId56" Type="http://schemas.microsoft.com/office/2017/10/relationships/person" Target="persons/person34.xml"/><Relationship Id="rId64" Type="http://schemas.microsoft.com/office/2017/10/relationships/person" Target="persons/person42.xml"/><Relationship Id="rId69" Type="http://schemas.microsoft.com/office/2017/10/relationships/person" Target="persons/person.xml"/><Relationship Id="rId8" Type="http://schemas.openxmlformats.org/officeDocument/2006/relationships/customXml" Target="../customXml/item1.xml"/><Relationship Id="rId51" Type="http://schemas.microsoft.com/office/2017/10/relationships/person" Target="persons/person31.xml"/><Relationship Id="rId3" Type="http://schemas.openxmlformats.org/officeDocument/2006/relationships/theme" Target="theme/theme1.xml"/><Relationship Id="rId46" Type="http://schemas.microsoft.com/office/2017/10/relationships/person" Target="persons/person25.xml"/><Relationship Id="rId25" Type="http://schemas.microsoft.com/office/2017/10/relationships/person" Target="persons/person3.xml"/><Relationship Id="rId33" Type="http://schemas.microsoft.com/office/2017/10/relationships/person" Target="persons/person11.xml"/><Relationship Id="rId38" Type="http://schemas.microsoft.com/office/2017/10/relationships/person" Target="persons/person16.xml"/><Relationship Id="rId59" Type="http://schemas.microsoft.com/office/2017/10/relationships/person" Target="persons/person37.xml"/><Relationship Id="rId67" Type="http://schemas.microsoft.com/office/2017/10/relationships/person" Target="persons/person45.xml"/><Relationship Id="rId41" Type="http://schemas.microsoft.com/office/2017/10/relationships/person" Target="persons/person19.xml"/><Relationship Id="rId54" Type="http://schemas.microsoft.com/office/2017/10/relationships/person" Target="persons/person32.xml"/><Relationship Id="rId62" Type="http://schemas.microsoft.com/office/2017/10/relationships/person" Target="persons/person40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7" Type="http://schemas.microsoft.com/office/2017/10/relationships/person" Target="persons/person36.xml"/><Relationship Id="rId23" Type="http://schemas.microsoft.com/office/2017/10/relationships/person" Target="persons/person0.xml"/><Relationship Id="rId28" Type="http://schemas.microsoft.com/office/2017/10/relationships/person" Target="persons/person5.xml"/><Relationship Id="rId36" Type="http://schemas.microsoft.com/office/2017/10/relationships/person" Target="persons/person13.xml"/><Relationship Id="rId49" Type="http://schemas.microsoft.com/office/2017/10/relationships/person" Target="persons/person26.xml"/><Relationship Id="rId10" Type="http://schemas.openxmlformats.org/officeDocument/2006/relationships/customXml" Target="../customXml/item3.xml"/><Relationship Id="rId65" Type="http://schemas.microsoft.com/office/2017/10/relationships/person" Target="persons/person44.xml"/><Relationship Id="rId60" Type="http://schemas.microsoft.com/office/2017/10/relationships/person" Target="persons/person39.xml"/><Relationship Id="rId31" Type="http://schemas.microsoft.com/office/2017/10/relationships/person" Target="persons/person8.xml"/><Relationship Id="rId44" Type="http://schemas.microsoft.com/office/2017/10/relationships/person" Target="persons/person21.xml"/><Relationship Id="rId52" Type="http://schemas.microsoft.com/office/2017/10/relationships/person" Target="persons/person29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persons/person4.xml><?xml version="1.0" encoding="utf-8"?>
<personList xmlns="http://schemas.microsoft.com/office/spreadsheetml/2018/threadedcomments" xmlns:x="http://schemas.openxmlformats.org/spreadsheetml/2006/main"/>
</file>

<file path=xl/persons/person5.xml><?xml version="1.0" encoding="utf-8"?>
<personList xmlns="http://schemas.microsoft.com/office/spreadsheetml/2018/threadedcomments" xmlns:x="http://schemas.openxmlformats.org/spreadsheetml/2006/main"/>
</file>

<file path=xl/persons/person6.xml><?xml version="1.0" encoding="utf-8"?>
<personList xmlns="http://schemas.microsoft.com/office/spreadsheetml/2018/threadedcomments" xmlns:x="http://schemas.openxmlformats.org/spreadsheetml/2006/main"/>
</file>

<file path=xl/persons/person7.xml><?xml version="1.0" encoding="utf-8"?>
<personList xmlns="http://schemas.microsoft.com/office/spreadsheetml/2018/threadedcomments" xmlns:x="http://schemas.openxmlformats.org/spreadsheetml/2006/main"/>
</file>

<file path=xl/persons/person8.xml><?xml version="1.0" encoding="utf-8"?>
<personList xmlns="http://schemas.microsoft.com/office/spreadsheetml/2018/threadedcomments" xmlns:x="http://schemas.openxmlformats.org/spreadsheetml/2006/main"/>
</file>

<file path=xl/persons/person9.xml><?xml version="1.0" encoding="utf-8"?>
<personList xmlns="http://schemas.microsoft.com/office/spreadsheetml/2018/threadedcomments" xmlns:x="http://schemas.openxmlformats.org/spreadsheetml/2006/main"/>
</file>

<file path=xl/persons/person10.xml><?xml version="1.0" encoding="utf-8"?>
<personList xmlns="http://schemas.microsoft.com/office/spreadsheetml/2018/threadedcomments" xmlns:x="http://schemas.openxmlformats.org/spreadsheetml/2006/main"/>
</file>

<file path=xl/persons/person11.xml><?xml version="1.0" encoding="utf-8"?>
<personList xmlns="http://schemas.microsoft.com/office/spreadsheetml/2018/threadedcomments" xmlns:x="http://schemas.openxmlformats.org/spreadsheetml/2006/main"/>
</file>

<file path=xl/persons/person12.xml><?xml version="1.0" encoding="utf-8"?>
<personList xmlns="http://schemas.microsoft.com/office/spreadsheetml/2018/threadedcomments" xmlns:x="http://schemas.openxmlformats.org/spreadsheetml/2006/main"/>
</file>

<file path=xl/persons/person13.xml><?xml version="1.0" encoding="utf-8"?>
<personList xmlns="http://schemas.microsoft.com/office/spreadsheetml/2018/threadedcomments" xmlns:x="http://schemas.openxmlformats.org/spreadsheetml/2006/main"/>
</file>

<file path=xl/persons/person14.xml><?xml version="1.0" encoding="utf-8"?>
<personList xmlns="http://schemas.microsoft.com/office/spreadsheetml/2018/threadedcomments" xmlns:x="http://schemas.openxmlformats.org/spreadsheetml/2006/main"/>
</file>

<file path=xl/persons/person15.xml><?xml version="1.0" encoding="utf-8"?>
<personList xmlns="http://schemas.microsoft.com/office/spreadsheetml/2018/threadedcomments" xmlns:x="http://schemas.openxmlformats.org/spreadsheetml/2006/main"/>
</file>

<file path=xl/persons/person16.xml><?xml version="1.0" encoding="utf-8"?>
<personList xmlns="http://schemas.microsoft.com/office/spreadsheetml/2018/threadedcomments" xmlns:x="http://schemas.openxmlformats.org/spreadsheetml/2006/main"/>
</file>

<file path=xl/persons/person17.xml><?xml version="1.0" encoding="utf-8"?>
<personList xmlns="http://schemas.microsoft.com/office/spreadsheetml/2018/threadedcomments" xmlns:x="http://schemas.openxmlformats.org/spreadsheetml/2006/main"/>
</file>

<file path=xl/persons/person18.xml><?xml version="1.0" encoding="utf-8"?>
<personList xmlns="http://schemas.microsoft.com/office/spreadsheetml/2018/threadedcomments" xmlns:x="http://schemas.openxmlformats.org/spreadsheetml/2006/main"/>
</file>

<file path=xl/persons/person19.xml><?xml version="1.0" encoding="utf-8"?>
<personList xmlns="http://schemas.microsoft.com/office/spreadsheetml/2018/threadedcomments" xmlns:x="http://schemas.openxmlformats.org/spreadsheetml/2006/main"/>
</file>

<file path=xl/persons/person20.xml><?xml version="1.0" encoding="utf-8"?>
<personList xmlns="http://schemas.microsoft.com/office/spreadsheetml/2018/threadedcomments" xmlns:x="http://schemas.openxmlformats.org/spreadsheetml/2006/main"/>
</file>

<file path=xl/persons/person21.xml><?xml version="1.0" encoding="utf-8"?>
<personList xmlns="http://schemas.microsoft.com/office/spreadsheetml/2018/threadedcomments" xmlns:x="http://schemas.openxmlformats.org/spreadsheetml/2006/main"/>
</file>

<file path=xl/persons/person22.xml><?xml version="1.0" encoding="utf-8"?>
<personList xmlns="http://schemas.microsoft.com/office/spreadsheetml/2018/threadedcomments" xmlns:x="http://schemas.openxmlformats.org/spreadsheetml/2006/main"/>
</file>

<file path=xl/persons/person23.xml><?xml version="1.0" encoding="utf-8"?>
<personList xmlns="http://schemas.microsoft.com/office/spreadsheetml/2018/threadedcomments" xmlns:x="http://schemas.openxmlformats.org/spreadsheetml/2006/main"/>
</file>

<file path=xl/persons/person24.xml><?xml version="1.0" encoding="utf-8"?>
<personList xmlns="http://schemas.microsoft.com/office/spreadsheetml/2018/threadedcomments" xmlns:x="http://schemas.openxmlformats.org/spreadsheetml/2006/main"/>
</file>

<file path=xl/persons/person25.xml><?xml version="1.0" encoding="utf-8"?>
<personList xmlns="http://schemas.microsoft.com/office/spreadsheetml/2018/threadedcomments" xmlns:x="http://schemas.openxmlformats.org/spreadsheetml/2006/main"/>
</file>

<file path=xl/persons/person26.xml><?xml version="1.0" encoding="utf-8"?>
<personList xmlns="http://schemas.microsoft.com/office/spreadsheetml/2018/threadedcomments" xmlns:x="http://schemas.openxmlformats.org/spreadsheetml/2006/main"/>
</file>

<file path=xl/persons/person27.xml><?xml version="1.0" encoding="utf-8"?>
<personList xmlns="http://schemas.microsoft.com/office/spreadsheetml/2018/threadedcomments" xmlns:x="http://schemas.openxmlformats.org/spreadsheetml/2006/main"/>
</file>

<file path=xl/persons/person28.xml><?xml version="1.0" encoding="utf-8"?>
<personList xmlns="http://schemas.microsoft.com/office/spreadsheetml/2018/threadedcomments" xmlns:x="http://schemas.openxmlformats.org/spreadsheetml/2006/main"/>
</file>

<file path=xl/persons/person29.xml><?xml version="1.0" encoding="utf-8"?>
<personList xmlns="http://schemas.microsoft.com/office/spreadsheetml/2018/threadedcomments" xmlns:x="http://schemas.openxmlformats.org/spreadsheetml/2006/main"/>
</file>

<file path=xl/persons/person30.xml><?xml version="1.0" encoding="utf-8"?>
<personList xmlns="http://schemas.microsoft.com/office/spreadsheetml/2018/threadedcomments" xmlns:x="http://schemas.openxmlformats.org/spreadsheetml/2006/main"/>
</file>

<file path=xl/persons/person31.xml><?xml version="1.0" encoding="utf-8"?>
<personList xmlns="http://schemas.microsoft.com/office/spreadsheetml/2018/threadedcomments" xmlns:x="http://schemas.openxmlformats.org/spreadsheetml/2006/main"/>
</file>

<file path=xl/persons/person32.xml><?xml version="1.0" encoding="utf-8"?>
<personList xmlns="http://schemas.microsoft.com/office/spreadsheetml/2018/threadedcomments" xmlns:x="http://schemas.openxmlformats.org/spreadsheetml/2006/main"/>
</file>

<file path=xl/persons/person33.xml><?xml version="1.0" encoding="utf-8"?>
<personList xmlns="http://schemas.microsoft.com/office/spreadsheetml/2018/threadedcomments" xmlns:x="http://schemas.openxmlformats.org/spreadsheetml/2006/main"/>
</file>

<file path=xl/persons/person34.xml><?xml version="1.0" encoding="utf-8"?>
<personList xmlns="http://schemas.microsoft.com/office/spreadsheetml/2018/threadedcomments" xmlns:x="http://schemas.openxmlformats.org/spreadsheetml/2006/main"/>
</file>

<file path=xl/persons/person35.xml><?xml version="1.0" encoding="utf-8"?>
<personList xmlns="http://schemas.microsoft.com/office/spreadsheetml/2018/threadedcomments" xmlns:x="http://schemas.openxmlformats.org/spreadsheetml/2006/main"/>
</file>

<file path=xl/persons/person36.xml><?xml version="1.0" encoding="utf-8"?>
<personList xmlns="http://schemas.microsoft.com/office/spreadsheetml/2018/threadedcomments" xmlns:x="http://schemas.openxmlformats.org/spreadsheetml/2006/main"/>
</file>

<file path=xl/persons/person37.xml><?xml version="1.0" encoding="utf-8"?>
<personList xmlns="http://schemas.microsoft.com/office/spreadsheetml/2018/threadedcomments" xmlns:x="http://schemas.openxmlformats.org/spreadsheetml/2006/main"/>
</file>

<file path=xl/persons/person38.xml><?xml version="1.0" encoding="utf-8"?>
<personList xmlns="http://schemas.microsoft.com/office/spreadsheetml/2018/threadedcomments" xmlns:x="http://schemas.openxmlformats.org/spreadsheetml/2006/main"/>
</file>

<file path=xl/persons/person39.xml><?xml version="1.0" encoding="utf-8"?>
<personList xmlns="http://schemas.microsoft.com/office/spreadsheetml/2018/threadedcomments" xmlns:x="http://schemas.openxmlformats.org/spreadsheetml/2006/main"/>
</file>

<file path=xl/persons/person40.xml><?xml version="1.0" encoding="utf-8"?>
<personList xmlns="http://schemas.microsoft.com/office/spreadsheetml/2018/threadedcomments" xmlns:x="http://schemas.openxmlformats.org/spreadsheetml/2006/main"/>
</file>

<file path=xl/persons/person41.xml><?xml version="1.0" encoding="utf-8"?>
<personList xmlns="http://schemas.microsoft.com/office/spreadsheetml/2018/threadedcomments" xmlns:x="http://schemas.openxmlformats.org/spreadsheetml/2006/main"/>
</file>

<file path=xl/persons/person42.xml><?xml version="1.0" encoding="utf-8"?>
<personList xmlns="http://schemas.microsoft.com/office/spreadsheetml/2018/threadedcomments" xmlns:x="http://schemas.openxmlformats.org/spreadsheetml/2006/main"/>
</file>

<file path=xl/persons/person43.xml><?xml version="1.0" encoding="utf-8"?>
<personList xmlns="http://schemas.microsoft.com/office/spreadsheetml/2018/threadedcomments" xmlns:x="http://schemas.openxmlformats.org/spreadsheetml/2006/main"/>
</file>

<file path=xl/persons/person44.xml><?xml version="1.0" encoding="utf-8"?>
<personList xmlns="http://schemas.microsoft.com/office/spreadsheetml/2018/threadedcomments" xmlns:x="http://schemas.openxmlformats.org/spreadsheetml/2006/main"/>
</file>

<file path=xl/persons/person45.xml><?xml version="1.0" encoding="utf-8"?>
<personList xmlns="http://schemas.microsoft.com/office/spreadsheetml/2018/threadedcomments" xmlns:x="http://schemas.openxmlformats.org/spreadsheetml/2006/main"/>
</file>

<file path=xl/persons/person46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refreshOnLoad="1" connectionId="1" xr16:uid="{0D754C57-DDE6-4C26-A9EE-E778BBA4E47C}" autoFormatId="16" applyNumberFormats="0" applyBorderFormats="0" applyFontFormats="0" applyPatternFormats="0" applyAlignmentFormats="0" applyWidthHeightFormats="0">
  <queryTableRefresh nextId="14" unboundColumnsLeft="1">
    <queryTableFields count="10">
      <queryTableField id="11" dataBound="0" tableColumnId="11"/>
      <queryTableField id="1" name="ANALISTA" tableColumnId="1"/>
      <queryTableField id="2" name="EMPRESA" tableColumnId="2"/>
      <queryTableField id="3" name="DATA" tableColumnId="3"/>
      <queryTableField id="5" name="STATUS" tableColumnId="5"/>
      <queryTableField id="6" name="ASSUNTO" tableColumnId="6"/>
      <queryTableField id="7" name="MENSAGEM" tableColumnId="7"/>
      <queryTableField id="8" name="SOLICITANTE" tableColumnId="8"/>
      <queryTableField id="9" name="dta_resolvido" tableColumnId="9"/>
      <queryTableField id="12" name="TICKET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00ACC9B7-C62C-465A-AA93-72CA39D1468F}" autoFormatId="16" applyNumberFormats="0" applyBorderFormats="0" applyFontFormats="0" applyPatternFormats="0" applyAlignmentFormats="0" applyWidthHeightFormats="0">
  <queryTableRefresh nextId="13">
    <queryTableFields count="12">
      <queryTableField id="1" name="SL" tableColumnId="1"/>
      <queryTableField id="2" name="TP_SOLIC" tableColumnId="2"/>
      <queryTableField id="3" name="SISTEMA" tableColumnId="3"/>
      <queryTableField id="4" name="VERSAO" tableColumnId="4"/>
      <queryTableField id="5" name="MDSIST_DESCRICAO" tableColumnId="5"/>
      <queryTableField id="6" name="APSIST_DESCRICAO" tableColumnId="6"/>
      <queryTableField id="7" name="DESC_SOLICITACAO" tableColumnId="7"/>
      <queryTableField id="8" name="DATA" tableColumnId="8"/>
      <queryTableField id="9" name="NOME_SUPORTE" tableColumnId="9"/>
      <queryTableField id="10" name="STATUS_SOLIC" tableColumnId="10"/>
      <queryTableField id="11" name="NOME_FANTASIA" tableColumnId="11"/>
      <queryTableField id="12" name="TICKET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95DA703-1A7E-42A2-BE6B-B9911F617304}" name="Tabela_DadosExternos_1" displayName="Tabela_DadosExternos_1" ref="B6:K11" tableType="queryTable" totalsRowShown="0" headerRowDxfId="19" dataDxfId="18">
  <autoFilter ref="B6:K11" xr:uid="{495DA703-1A7E-42A2-BE6B-B9911F617304}"/>
  <sortState xmlns:xlrd2="http://schemas.microsoft.com/office/spreadsheetml/2017/richdata2" ref="B7:K11">
    <sortCondition ref="E6:E11"/>
  </sortState>
  <tableColumns count="10">
    <tableColumn id="11" xr3:uid="{AADD3065-0516-4B13-8355-4E6D6221A2EB}" uniqueName="11" name="CH" queryTableFieldId="11" dataDxfId="3" dataCellStyle="Hiperlink">
      <calculatedColumnFormula>HYPERLINK(CONCATENATE("https://suporte.suprasys.com.br/intranet/admin/admin_ticket.php?track=",RIGHT(Tabela_DadosExternos_1[[#This Row],[TICKET]],(FIND("_",Tabela_DadosExternos_1[[#This Row],[TICKET]]))+4)),LEFT(Tabela_DadosExternos_1[[#This Row],[TICKET]],(FIND("_",Tabela_DadosExternos_1[[#This Row],[TICKET]]))-1))</calculatedColumnFormula>
    </tableColumn>
    <tableColumn id="1" xr3:uid="{82443096-E147-4A11-A9D7-D5CAF4D33EAE}" uniqueName="1" name="ANALISTA" queryTableFieldId="1"/>
    <tableColumn id="2" xr3:uid="{C07F629D-0501-4DBE-B3DF-1AF810D21560}" uniqueName="2" name="EMPRESA" queryTableFieldId="2"/>
    <tableColumn id="3" xr3:uid="{D999636F-4921-4782-8B98-6AEBA6C57B1C}" uniqueName="3" name="DATA" queryTableFieldId="3" dataDxfId="2"/>
    <tableColumn id="5" xr3:uid="{FDF796E7-7985-46CE-917C-FA03D80AC3F2}" uniqueName="5" name="STATUS" queryTableFieldId="5"/>
    <tableColumn id="6" xr3:uid="{4F873D5D-5B87-490C-99D2-E40AA0065F5C}" uniqueName="6" name="ASSUNTO" queryTableFieldId="6"/>
    <tableColumn id="7" xr3:uid="{05859589-78C7-4C00-A35B-8D6260D70418}" uniqueName="7" name="MENSAGEM" queryTableFieldId="7"/>
    <tableColumn id="8" xr3:uid="{C57DAE78-2A27-42B4-A265-D9D69ADC24BD}" uniqueName="8" name="SOLICITANTE" queryTableFieldId="8"/>
    <tableColumn id="9" xr3:uid="{30632C5A-EB69-427E-919B-A3BDB661A20F}" uniqueName="9" name="dta_resolvido" queryTableFieldId="9" dataDxfId="1"/>
    <tableColumn id="4" xr3:uid="{6C16B57F-F975-4FF0-83D7-291A8A2713F8}" uniqueName="4" name="TICKET" queryTableFieldId="12" data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612D50D-BB07-49C9-8934-17946DCE4655}" name="Tabela_DadosExternos_14" displayName="Tabela_DadosExternos_14" ref="B6:M7" tableType="queryTable" insertRow="1" totalsRowShown="0" headerRowDxfId="17" dataDxfId="16">
  <autoFilter ref="B6:M7" xr:uid="{8612D50D-BB07-49C9-8934-17946DCE4655}"/>
  <tableColumns count="12">
    <tableColumn id="1" xr3:uid="{E99D5D0E-F443-4D29-B5DC-FD2D7A841E53}" uniqueName="1" name="SL" queryTableFieldId="1" dataDxfId="15"/>
    <tableColumn id="2" xr3:uid="{ED0A581F-B168-4073-B9A5-FDAC59DA3059}" uniqueName="2" name="TP_SOLIC" queryTableFieldId="2" dataDxfId="14"/>
    <tableColumn id="3" xr3:uid="{9A7052FE-EA42-4749-BD2F-48D63D4B2C02}" uniqueName="3" name="SISTEMA" queryTableFieldId="3" dataDxfId="13"/>
    <tableColumn id="4" xr3:uid="{A83BD86B-D92D-426D-92AA-C28B8B76D04B}" uniqueName="4" name="VERSAO" queryTableFieldId="4" dataDxfId="12"/>
    <tableColumn id="5" xr3:uid="{17818F2A-CD2A-4253-9971-1555AAEFAA79}" uniqueName="5" name="MDSIST_DESCRICAO" queryTableFieldId="5" dataDxfId="11"/>
    <tableColumn id="6" xr3:uid="{032737E6-5B7F-4DA9-87BE-B65C5ED7FFB4}" uniqueName="6" name="APSIST_DESCRICAO" queryTableFieldId="6" dataDxfId="10"/>
    <tableColumn id="7" xr3:uid="{F0BAB9B0-BA56-44A0-BC0F-706FFD540970}" uniqueName="7" name="DESC_SOLICITACAO" queryTableFieldId="7" dataDxfId="9"/>
    <tableColumn id="8" xr3:uid="{DF135522-F056-451A-A0BA-7C54D362FCCD}" uniqueName="8" name="DATA" queryTableFieldId="8" dataDxfId="8"/>
    <tableColumn id="9" xr3:uid="{436D3844-B8C2-4EFF-820F-5E28ED897216}" uniqueName="9" name="NOME_SUPORTE" queryTableFieldId="9" dataDxfId="7"/>
    <tableColumn id="10" xr3:uid="{1AC854F0-BD6E-4C1A-B6D7-4858FF2AB24F}" uniqueName="10" name="STATUS_SOLIC" queryTableFieldId="10" dataDxfId="6"/>
    <tableColumn id="11" xr3:uid="{562D9494-19C1-449D-B4A2-B86E7E7F998C}" uniqueName="11" name="NOME_FANTASIA" queryTableFieldId="11" dataDxfId="5"/>
    <tableColumn id="12" xr3:uid="{C08EC2D3-A06F-423C-BC3C-DE45077F7482}" uniqueName="12" name="TICKET" queryTableFieldId="12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E1DB0-D2E8-49A6-8637-750BFC4F0210}">
  <dimension ref="A1:K11"/>
  <sheetViews>
    <sheetView tabSelected="1" workbookViewId="0"/>
  </sheetViews>
  <sheetFormatPr defaultRowHeight="15" x14ac:dyDescent="0.25"/>
  <cols>
    <col min="1" max="1" width="4" style="9" customWidth="1"/>
    <col min="2" max="2" width="7.42578125" style="1" bestFit="1" customWidth="1"/>
    <col min="3" max="3" width="17.7109375" style="1" bestFit="1" customWidth="1"/>
    <col min="4" max="4" width="11.7109375" style="1" bestFit="1" customWidth="1"/>
    <col min="5" max="5" width="10.7109375" style="1" bestFit="1" customWidth="1"/>
    <col min="6" max="6" width="12.7109375" style="1" bestFit="1" customWidth="1"/>
    <col min="7" max="7" width="57.5703125" style="1" bestFit="1" customWidth="1"/>
    <col min="8" max="8" width="81.140625" style="1" bestFit="1" customWidth="1"/>
    <col min="9" max="9" width="15" style="1" bestFit="1" customWidth="1"/>
    <col min="10" max="10" width="15.85546875" style="1" bestFit="1" customWidth="1"/>
    <col min="11" max="11" width="22.7109375" style="1" bestFit="1" customWidth="1"/>
    <col min="12" max="12" width="81.140625" style="1" bestFit="1" customWidth="1"/>
    <col min="13" max="16384" width="9.140625" style="1"/>
  </cols>
  <sheetData>
    <row r="1" spans="1:11" x14ac:dyDescent="0.25">
      <c r="A1" s="13" t="str">
        <f>"%"&amp;C1&amp;"%"</f>
        <v>%SupraSys%</v>
      </c>
      <c r="B1" s="14" t="s">
        <v>12</v>
      </c>
      <c r="C1" s="2" t="s">
        <v>40</v>
      </c>
      <c r="E1" s="4" t="s">
        <v>15</v>
      </c>
      <c r="F1" s="7">
        <f>COUNTA(Tabela_DadosExternos_1[CH])</f>
        <v>5</v>
      </c>
      <c r="G1" s="5"/>
      <c r="H1" s="5"/>
    </row>
    <row r="2" spans="1:11" x14ac:dyDescent="0.25">
      <c r="A2" s="13" t="str">
        <f>"%"&amp;C2&amp;"%"</f>
        <v>%Compra%</v>
      </c>
      <c r="B2" s="14" t="s">
        <v>18</v>
      </c>
      <c r="C2" s="2" t="s">
        <v>39</v>
      </c>
      <c r="E2" s="4" t="s">
        <v>16</v>
      </c>
      <c r="F2" s="8">
        <f>F1/(A5-A4)</f>
        <v>1.3661202617802754E-2</v>
      </c>
      <c r="G2" s="5"/>
      <c r="H2" s="5"/>
    </row>
    <row r="3" spans="1:11" x14ac:dyDescent="0.25">
      <c r="A3" s="13" t="str">
        <f>"%"&amp;C3&amp;"%"</f>
        <v>%%%</v>
      </c>
      <c r="B3" s="14" t="s">
        <v>11</v>
      </c>
      <c r="C3" s="2" t="s">
        <v>14</v>
      </c>
      <c r="E3" s="4"/>
      <c r="G3" s="5"/>
      <c r="H3" s="5"/>
    </row>
    <row r="4" spans="1:11" x14ac:dyDescent="0.25">
      <c r="A4" s="13" t="str">
        <f>CONCATENATE(TEXT(C4,"AAAA-MM-DD")," 00:00:00")</f>
        <v>2024-01-01 00:00:00</v>
      </c>
      <c r="B4" s="14" t="s">
        <v>9</v>
      </c>
      <c r="C4" s="3" t="s">
        <v>75</v>
      </c>
      <c r="E4" s="6"/>
      <c r="G4" s="5"/>
      <c r="H4" s="5"/>
    </row>
    <row r="5" spans="1:11" x14ac:dyDescent="0.25">
      <c r="A5" s="13" t="str">
        <f>CONCATENATE(TEXT(C5,"AAAA-MM-DD")," 23:59:59")</f>
        <v>2024-12-31 23:59:59</v>
      </c>
      <c r="B5" s="14" t="s">
        <v>10</v>
      </c>
      <c r="C5" s="3" t="s">
        <v>47</v>
      </c>
      <c r="E5" s="6"/>
      <c r="G5" s="4"/>
      <c r="H5" s="5"/>
    </row>
    <row r="6" spans="1:11" x14ac:dyDescent="0.25">
      <c r="B6" t="s">
        <v>1</v>
      </c>
      <c r="C6" t="s">
        <v>3</v>
      </c>
      <c r="D6" t="s">
        <v>7</v>
      </c>
      <c r="E6" t="s">
        <v>2</v>
      </c>
      <c r="F6" t="s">
        <v>0</v>
      </c>
      <c r="G6" t="s">
        <v>5</v>
      </c>
      <c r="H6" t="s">
        <v>8</v>
      </c>
      <c r="I6" t="s">
        <v>13</v>
      </c>
      <c r="J6" t="s">
        <v>4</v>
      </c>
      <c r="K6" t="s">
        <v>17</v>
      </c>
    </row>
    <row r="7" spans="1:11" x14ac:dyDescent="0.25">
      <c r="B7" s="11" t="str">
        <f>HYPERLINK(CONCATENATE("https://suporte.suprasys.com.br/intranet/admin/admin_ticket.php?track=",RIGHT(Tabela_DadosExternos_1[[#This Row],[TICKET]],(FIND("_",Tabela_DadosExternos_1[[#This Row],[TICKET]]))+4)),LEFT(Tabela_DadosExternos_1[[#This Row],[TICKET]],(FIND("_",Tabela_DadosExternos_1[[#This Row],[TICKET]]))-1))</f>
        <v xml:space="preserve">153435 </v>
      </c>
      <c r="C7" t="s">
        <v>44</v>
      </c>
      <c r="D7" t="s">
        <v>41</v>
      </c>
      <c r="E7" s="10" t="s">
        <v>69</v>
      </c>
      <c r="F7" t="s">
        <v>70</v>
      </c>
      <c r="G7" t="s">
        <v>71</v>
      </c>
      <c r="H7" t="s">
        <v>72</v>
      </c>
      <c r="I7" t="s">
        <v>73</v>
      </c>
      <c r="J7" s="12"/>
      <c r="K7" s="12" t="s">
        <v>74</v>
      </c>
    </row>
    <row r="8" spans="1:11" x14ac:dyDescent="0.25">
      <c r="B8" s="11" t="str">
        <f>HYPERLINK(CONCATENATE("https://suporte.suprasys.com.br/intranet/admin/admin_ticket.php?track=",RIGHT(Tabela_DadosExternos_1[[#This Row],[TICKET]],(FIND("_",Tabela_DadosExternos_1[[#This Row],[TICKET]]))+4)),LEFT(Tabela_DadosExternos_1[[#This Row],[TICKET]],(FIND("_",Tabela_DadosExternos_1[[#This Row],[TICKET]]))-1))</f>
        <v xml:space="preserve">150505 </v>
      </c>
      <c r="C8" t="s">
        <v>45</v>
      </c>
      <c r="D8" t="s">
        <v>41</v>
      </c>
      <c r="E8" s="10" t="s">
        <v>52</v>
      </c>
      <c r="F8" t="s">
        <v>53</v>
      </c>
      <c r="G8" t="s">
        <v>54</v>
      </c>
      <c r="H8" t="s">
        <v>55</v>
      </c>
      <c r="I8" t="s">
        <v>56</v>
      </c>
      <c r="J8" s="12"/>
      <c r="K8" s="12" t="s">
        <v>57</v>
      </c>
    </row>
    <row r="9" spans="1:11" x14ac:dyDescent="0.25">
      <c r="B9" s="11" t="str">
        <f>HYPERLINK(CONCATENATE("https://suporte.suprasys.com.br/intranet/admin/admin_ticket.php?track=",RIGHT(Tabela_DadosExternos_1[[#This Row],[TICKET]],(FIND("_",Tabela_DadosExternos_1[[#This Row],[TICKET]]))+4)),LEFT(Tabela_DadosExternos_1[[#This Row],[TICKET]],(FIND("_",Tabela_DadosExternos_1[[#This Row],[TICKET]]))-1))</f>
        <v xml:space="preserve">153206 </v>
      </c>
      <c r="C9" t="s">
        <v>45</v>
      </c>
      <c r="D9" t="s">
        <v>41</v>
      </c>
      <c r="E9" s="10" t="s">
        <v>64</v>
      </c>
      <c r="F9" t="s">
        <v>65</v>
      </c>
      <c r="G9" t="s">
        <v>66</v>
      </c>
      <c r="H9" t="s">
        <v>67</v>
      </c>
      <c r="I9" t="s">
        <v>46</v>
      </c>
      <c r="J9" s="12"/>
      <c r="K9" s="12" t="s">
        <v>68</v>
      </c>
    </row>
    <row r="10" spans="1:11" x14ac:dyDescent="0.25">
      <c r="B10" s="11" t="str">
        <f>HYPERLINK(CONCATENATE("https://suporte.suprasys.com.br/intranet/admin/admin_ticket.php?track=",RIGHT(Tabela_DadosExternos_1[[#This Row],[TICKET]],(FIND("_",Tabela_DadosExternos_1[[#This Row],[TICKET]]))+4)),LEFT(Tabela_DadosExternos_1[[#This Row],[TICKET]],(FIND("_",Tabela_DadosExternos_1[[#This Row],[TICKET]]))-1))</f>
        <v xml:space="preserve">149683 </v>
      </c>
      <c r="C10" t="s">
        <v>42</v>
      </c>
      <c r="D10" t="s">
        <v>41</v>
      </c>
      <c r="E10" s="10" t="s">
        <v>48</v>
      </c>
      <c r="F10" t="s">
        <v>6</v>
      </c>
      <c r="G10" t="s">
        <v>49</v>
      </c>
      <c r="H10" t="s">
        <v>50</v>
      </c>
      <c r="I10" t="s">
        <v>43</v>
      </c>
      <c r="J10" s="12">
        <v>45352.741886574076</v>
      </c>
      <c r="K10" s="12" t="s">
        <v>51</v>
      </c>
    </row>
    <row r="11" spans="1:11" x14ac:dyDescent="0.25">
      <c r="B11" s="11" t="str">
        <f>HYPERLINK(CONCATENATE("https://suporte.suprasys.com.br/intranet/admin/admin_ticket.php?track=",RIGHT(Tabela_DadosExternos_1[[#This Row],[TICKET]],(FIND("_",Tabela_DadosExternos_1[[#This Row],[TICKET]]))+4)),LEFT(Tabela_DadosExternos_1[[#This Row],[TICKET]],(FIND("_",Tabela_DadosExternos_1[[#This Row],[TICKET]]))-1))</f>
        <v xml:space="preserve">152207 </v>
      </c>
      <c r="C11" t="s">
        <v>58</v>
      </c>
      <c r="D11" t="s">
        <v>41</v>
      </c>
      <c r="E11" s="10" t="s">
        <v>59</v>
      </c>
      <c r="F11" t="s">
        <v>60</v>
      </c>
      <c r="G11" t="s">
        <v>61</v>
      </c>
      <c r="H11" t="s">
        <v>62</v>
      </c>
      <c r="I11" t="s">
        <v>43</v>
      </c>
      <c r="J11" s="12"/>
      <c r="K11" s="12" t="s">
        <v>63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8DD65-A382-4EC2-959F-FE2D21E35DCC}">
  <dimension ref="A1:M7"/>
  <sheetViews>
    <sheetView workbookViewId="0">
      <selection activeCell="E3" sqref="E3"/>
    </sheetView>
  </sheetViews>
  <sheetFormatPr defaultRowHeight="15" x14ac:dyDescent="0.25"/>
  <cols>
    <col min="1" max="1" width="9.140625" style="18"/>
    <col min="2" max="2" width="5.140625" style="18" bestFit="1" customWidth="1"/>
    <col min="3" max="3" width="11.42578125" style="18" bestFit="1" customWidth="1"/>
    <col min="4" max="4" width="11" style="18" bestFit="1" customWidth="1"/>
    <col min="5" max="5" width="10.42578125" style="18" bestFit="1" customWidth="1"/>
    <col min="6" max="6" width="21.28515625" style="18" bestFit="1" customWidth="1"/>
    <col min="7" max="7" width="20.5703125" style="18" bestFit="1" customWidth="1"/>
    <col min="8" max="8" width="20.7109375" style="18" bestFit="1" customWidth="1"/>
    <col min="9" max="9" width="8.140625" style="18" bestFit="1" customWidth="1"/>
    <col min="10" max="10" width="18.28515625" style="18" bestFit="1" customWidth="1"/>
    <col min="11" max="11" width="16.140625" style="18" bestFit="1" customWidth="1"/>
    <col min="12" max="12" width="19" style="18" bestFit="1" customWidth="1"/>
    <col min="13" max="13" width="9.140625" style="18" bestFit="1" customWidth="1"/>
    <col min="14" max="16384" width="9.140625" style="18"/>
  </cols>
  <sheetData>
    <row r="1" spans="1:13" x14ac:dyDescent="0.25">
      <c r="A1" s="15" t="str">
        <f>"%"&amp;C1&amp;"%"</f>
        <v>%Drafer%</v>
      </c>
      <c r="B1" s="16" t="s">
        <v>26</v>
      </c>
      <c r="C1" s="17" t="s">
        <v>38</v>
      </c>
      <c r="E1" s="16" t="s">
        <v>28</v>
      </c>
      <c r="F1" s="17" t="s">
        <v>14</v>
      </c>
      <c r="G1" s="18" t="str">
        <f>"%"&amp;F1&amp;"%"</f>
        <v>%%%</v>
      </c>
    </row>
    <row r="2" spans="1:13" x14ac:dyDescent="0.25">
      <c r="A2" s="15" t="str">
        <f>"%"&amp;C2&amp;"%"</f>
        <v>%%%</v>
      </c>
      <c r="B2" s="16" t="s">
        <v>31</v>
      </c>
      <c r="C2" s="17" t="s">
        <v>14</v>
      </c>
      <c r="E2" s="16" t="s">
        <v>27</v>
      </c>
      <c r="F2" s="17" t="s">
        <v>14</v>
      </c>
      <c r="G2" s="18" t="str">
        <f t="shared" ref="G2:G4" si="0">"%"&amp;F2&amp;"%"</f>
        <v>%%%</v>
      </c>
    </row>
    <row r="3" spans="1:13" x14ac:dyDescent="0.25">
      <c r="A3" s="15" t="str">
        <f>CONCATENATE(TEXT(C3,"AAAA-MM-DD")," 00:00:00")</f>
        <v>2023-04-10 00:00:00</v>
      </c>
      <c r="B3" s="16" t="s">
        <v>32</v>
      </c>
      <c r="C3" s="25">
        <v>45026</v>
      </c>
      <c r="E3" s="19" t="s">
        <v>29</v>
      </c>
      <c r="F3" s="20" t="s">
        <v>14</v>
      </c>
      <c r="G3" s="18" t="str">
        <f t="shared" si="0"/>
        <v>%%%</v>
      </c>
    </row>
    <row r="4" spans="1:13" x14ac:dyDescent="0.25">
      <c r="A4" s="15" t="str">
        <f>"%"&amp;C4&amp;"%"</f>
        <v>%%%</v>
      </c>
      <c r="B4" s="16" t="s">
        <v>34</v>
      </c>
      <c r="C4" s="20" t="s">
        <v>14</v>
      </c>
      <c r="E4" s="21" t="s">
        <v>30</v>
      </c>
      <c r="F4" s="20" t="s">
        <v>14</v>
      </c>
      <c r="G4" s="18" t="str">
        <f t="shared" si="0"/>
        <v>%%%</v>
      </c>
    </row>
    <row r="5" spans="1:13" x14ac:dyDescent="0.25">
      <c r="A5" s="15" t="str">
        <f>CONCATENATE(TEXT(C5,"AAAA-MM-DD")," 23:59:59")</f>
        <v>% 23:59:59</v>
      </c>
      <c r="B5" s="16" t="s">
        <v>33</v>
      </c>
      <c r="C5" s="20" t="s">
        <v>14</v>
      </c>
      <c r="E5" s="22"/>
    </row>
    <row r="6" spans="1:13" x14ac:dyDescent="0.25">
      <c r="B6" s="23" t="s">
        <v>19</v>
      </c>
      <c r="C6" s="23" t="s">
        <v>20</v>
      </c>
      <c r="D6" s="23" t="s">
        <v>21</v>
      </c>
      <c r="E6" s="23" t="s">
        <v>22</v>
      </c>
      <c r="F6" s="23" t="s">
        <v>23</v>
      </c>
      <c r="G6" s="23" t="s">
        <v>24</v>
      </c>
      <c r="H6" s="23" t="s">
        <v>25</v>
      </c>
      <c r="I6" s="23" t="s">
        <v>2</v>
      </c>
      <c r="J6" s="23" t="s">
        <v>35</v>
      </c>
      <c r="K6" s="23" t="s">
        <v>36</v>
      </c>
      <c r="L6" s="23" t="s">
        <v>37</v>
      </c>
      <c r="M6" s="23" t="s">
        <v>17</v>
      </c>
    </row>
    <row r="7" spans="1:13" x14ac:dyDescent="0.25">
      <c r="B7" s="23"/>
      <c r="C7" s="23"/>
      <c r="D7" s="23"/>
      <c r="E7" s="23"/>
      <c r="F7" s="23"/>
      <c r="G7" s="23"/>
      <c r="H7" s="23"/>
      <c r="I7" s="24"/>
      <c r="J7" s="23"/>
      <c r="K7" s="23"/>
      <c r="L7" s="23"/>
      <c r="M7" s="23"/>
    </row>
  </sheetData>
  <phoneticPr fontId="4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7BDA823D4EF5E64CA9FFC210762A2557" ma:contentTypeVersion="0" ma:contentTypeDescription="Crie um novo documento." ma:contentTypeScope="" ma:versionID="8b425e61c8ed25e4efd5584e8ee75730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4319475835c1d8a4ec49180d72442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A023A7F-C9ED-4137-AB57-A46B01D930BE}">
  <ds:schemaRefs>
    <ds:schemaRef ds:uri="http://purl.org/dc/terms/"/>
    <ds:schemaRef ds:uri="http://purl.org/dc/elements/1.1/"/>
    <ds:schemaRef ds:uri="http://www.w3.org/XML/1998/namespace"/>
    <ds:schemaRef ds:uri="http://purl.org/dc/dcmitype/"/>
    <ds:schemaRef ds:uri="http://schemas.openxmlformats.org/package/2006/metadata/core-properties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4898F9E1-8A13-47EC-97FE-9A3EB52167E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EE3C9BAB-4F1F-4AD6-BABB-51A09D01E249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17995417-56C2-4007-AAE5-81291BFC419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Consulta_Chamados</vt:lpstr>
      <vt:lpstr>Consulta_Solicitações(NãoPront)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Julio JP. Pavesi</dc:creator>
  <cp:lastModifiedBy>Ronier Cavalari</cp:lastModifiedBy>
  <cp:lastPrinted>2018-03-01T20:40:04Z</cp:lastPrinted>
  <dcterms:created xsi:type="dcterms:W3CDTF">2017-10-31T13:07:36Z</dcterms:created>
  <dcterms:modified xsi:type="dcterms:W3CDTF">2024-06-06T12:45:42Z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0x0101007BDA823D4EF5E64CA9FFC210762A2557</vt:lpwstr>
  </property>
</Properties>
</file>